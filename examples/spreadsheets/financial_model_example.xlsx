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" sheetId="1" state="visible" r:id="rId1"/>
    <sheet xmlns:r="http://schemas.openxmlformats.org/officeDocument/2006/relationships" name="Premissas" sheetId="2" state="visible" r:id="rId2"/>
    <sheet xmlns:r="http://schemas.openxmlformats.org/officeDocument/2006/relationships" name="DRE" sheetId="3" state="visible" r:id="rId3"/>
    <sheet xmlns:r="http://schemas.openxmlformats.org/officeDocument/2006/relationships" name="Fluxo de Caixa" sheetId="4" state="visible" r:id="rId4"/>
    <sheet xmlns:r="http://schemas.openxmlformats.org/officeDocument/2006/relationships" name="Resumo" sheetId="5" state="visible" r:id="rId5"/>
  </sheets>
  <definedNames>
    <definedName name="wacc">'Premissas'!$C$5</definedName>
    <definedName name="inflacao">'Premissas'!$C$6</definedName>
    <definedName name="capex_inicial">'Premissas'!$C$7</definedName>
    <definedName name="receita_ano1">'Premissas'!$C$9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_-&quot;R$&quot;\ * #,##0_-;-&quot;R$&quot;\ * #,##0_-;_-&quot;R$&quot;\ * &quot;-&quot;??_-;_-@_-"/>
  </numFmts>
  <fonts count="10">
    <font>
      <name val="Calibri"/>
      <family val="2"/>
      <color theme="1"/>
      <sz val="11"/>
      <scheme val="minor"/>
    </font>
    <font>
      <name val="Calibri"/>
      <b val="1"/>
      <color rgb="FFFFFFFF"/>
      <sz val="60"/>
    </font>
    <font>
      <name val="Calibri"/>
      <color rgb="FFFFFFFF"/>
      <sz val="18"/>
    </font>
    <font>
      <name val="Calibri"/>
      <b val="1"/>
      <color rgb="FF0083CA"/>
      <sz val="8"/>
    </font>
    <font>
      <name val="Calibri"/>
      <color rgb="FFFFFFFF"/>
      <sz val="10"/>
    </font>
    <font>
      <name val="Calibri"/>
      <b val="1"/>
      <color rgb="FF0083CA"/>
      <sz val="18"/>
    </font>
    <font>
      <name val="Calibri"/>
      <b val="1"/>
      <color rgb="FFFFFFFF"/>
      <sz val="9"/>
    </font>
    <font>
      <name val="Calibri"/>
      <b val="1"/>
      <color rgb="FF6B7080"/>
      <sz val="9"/>
    </font>
    <font>
      <name val="Calibri"/>
      <b val="1"/>
      <color rgb="FF0A1A5C"/>
      <sz val="36"/>
    </font>
    <font>
      <name val="Calibri"/>
      <color rgb="FF6B7080"/>
      <sz val="9"/>
    </font>
  </fonts>
  <fills count="7">
    <fill>
      <patternFill/>
    </fill>
    <fill>
      <patternFill patternType="gray125"/>
    </fill>
    <fill>
      <patternFill patternType="solid">
        <fgColor rgb="FF0A1A5C"/>
        <bgColor rgb="FF0A1A5C"/>
      </patternFill>
    </fill>
    <fill>
      <patternFill patternType="solid">
        <fgColor rgb="FF0083CA"/>
        <bgColor rgb="FF0083CA"/>
      </patternFill>
    </fill>
    <fill>
      <patternFill patternType="solid">
        <fgColor rgb="FFF7F8FA"/>
        <bgColor rgb="FFF7F8FA"/>
      </patternFill>
    </fill>
    <fill>
      <patternFill patternType="solid">
        <fgColor rgb="FF00718A"/>
        <bgColor rgb="FF00718A"/>
      </patternFill>
    </fill>
    <fill>
      <patternFill patternType="solid">
        <fgColor rgb="FF6C3F99"/>
        <bgColor rgb="FF6C3F99"/>
      </patternFill>
    </fill>
  </fills>
  <borders count="2">
    <border>
      <left/>
      <right/>
      <top/>
      <bottom/>
      <diagonal/>
    </border>
    <border>
      <bottom style="thin">
        <color rgb="FFDCDFE7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left" vertical="center" wrapText="1"/>
    </xf>
    <xf numFmtId="0" fontId="0" fillId="0" borderId="1" pivotButton="0" quotePrefix="0" xfId="0"/>
    <xf numFmtId="164" fontId="0" fillId="0" borderId="1" pivotButton="0" quotePrefix="0" xfId="0"/>
    <xf numFmtId="0" fontId="0" fillId="4" borderId="1" pivotButton="0" quotePrefix="0" xfId="0"/>
    <xf numFmtId="164" fontId="0" fillId="4" borderId="1" pivotButton="0" quotePrefix="0" xfId="0"/>
    <xf numFmtId="165" fontId="0" fillId="0" borderId="1" pivotButton="0" quotePrefix="0" xfId="0"/>
    <xf numFmtId="165" fontId="0" fillId="4" borderId="1" pivotButton="0" quotePrefix="0" xfId="0"/>
    <xf numFmtId="3" fontId="0" fillId="0" borderId="1" pivotButton="0" quotePrefix="0" xfId="0"/>
    <xf numFmtId="0" fontId="0" fillId="5" borderId="0" pivotButton="0" quotePrefix="0" xfId="0"/>
    <xf numFmtId="0" fontId="0" fillId="6" borderId="0" pivotButton="0" quotePrefix="0" xfId="0"/>
    <xf numFmtId="0" fontId="7" fillId="4" borderId="0" pivotButton="0" quotePrefix="0" xfId="0"/>
    <xf numFmtId="0" fontId="8" fillId="4" borderId="0" pivotButton="0" quotePrefix="0" xfId="0"/>
    <xf numFmtId="0" fontId="9" fillId="4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33350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30" customWidth="1" min="3" max="3"/>
    <col width="30" customWidth="1" min="4" max="4"/>
  </cols>
  <sheetData>
    <row r="1">
      <c r="A1" s="1" t="n"/>
      <c r="B1" s="1" t="n"/>
      <c r="C1" s="1" t="n"/>
      <c r="D1" s="1" t="n"/>
      <c r="E1" s="1" t="n"/>
      <c r="F1" s="1" t="n"/>
      <c r="G1" s="1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 ht="60" customHeight="1">
      <c r="A4" s="2" t="n"/>
      <c r="B4" s="3" t="inlineStr">
        <is>
          <t>Modelo Financeiro — Luz Imperial</t>
        </is>
      </c>
      <c r="C4" s="2" t="n"/>
      <c r="D4" s="2" t="n"/>
      <c r="E4" s="2" t="n"/>
      <c r="F4" s="2" t="n"/>
      <c r="G4" s="2" t="n"/>
    </row>
    <row r="5">
      <c r="A5" s="2" t="n"/>
      <c r="B5" s="2" t="n"/>
      <c r="C5" s="2" t="n"/>
      <c r="D5" s="2" t="n"/>
      <c r="E5" s="2" t="n"/>
      <c r="F5" s="2" t="n"/>
      <c r="G5" s="2" t="n"/>
    </row>
    <row r="6">
      <c r="A6" s="2" t="n"/>
      <c r="B6" s="2" t="n"/>
      <c r="C6" s="2" t="n"/>
      <c r="D6" s="2" t="n"/>
      <c r="E6" s="2" t="n"/>
      <c r="F6" s="2" t="n"/>
      <c r="G6" s="2" t="n"/>
    </row>
    <row r="7" ht="24" customHeight="1">
      <c r="A7" s="2" t="n"/>
      <c r="B7" s="4" t="inlineStr">
        <is>
          <t>PPP de Iluminação Pública — Vassouras</t>
        </is>
      </c>
      <c r="C7" s="2" t="n"/>
      <c r="D7" s="2" t="n"/>
      <c r="E7" s="2" t="n"/>
      <c r="F7" s="2" t="n"/>
      <c r="G7" s="2" t="n"/>
    </row>
    <row r="8">
      <c r="A8" s="2" t="n"/>
      <c r="B8" s="2" t="n"/>
      <c r="C8" s="2" t="n"/>
      <c r="D8" s="2" t="n"/>
      <c r="E8" s="2" t="n"/>
      <c r="F8" s="2" t="n"/>
      <c r="G8" s="2" t="n"/>
    </row>
    <row r="9">
      <c r="A9" s="2" t="n"/>
      <c r="B9" s="2" t="n"/>
      <c r="C9" s="2" t="n"/>
      <c r="D9" s="2" t="n"/>
      <c r="E9" s="2" t="n"/>
      <c r="F9" s="2" t="n"/>
      <c r="G9" s="2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n"/>
      <c r="B11" s="2" t="n"/>
      <c r="C11" s="2" t="n"/>
      <c r="D11" s="2" t="n"/>
      <c r="E11" s="2" t="n"/>
      <c r="F11" s="2" t="n"/>
      <c r="G11" s="2" t="n"/>
    </row>
    <row r="12">
      <c r="A12" s="2" t="n"/>
      <c r="B12" s="5" t="inlineStr">
        <is>
          <t>VERSÃO</t>
        </is>
      </c>
      <c r="C12" s="6" t="inlineStr">
        <is>
          <t>v1.2</t>
        </is>
      </c>
      <c r="D12" s="2" t="n"/>
      <c r="E12" s="2" t="n"/>
      <c r="F12" s="2" t="n"/>
      <c r="G12" s="2" t="n"/>
    </row>
    <row r="13">
      <c r="A13" s="2" t="n"/>
      <c r="B13" s="2" t="n"/>
      <c r="C13" s="2" t="n"/>
      <c r="D13" s="2" t="n"/>
      <c r="E13" s="2" t="n"/>
      <c r="F13" s="2" t="n"/>
      <c r="G13" s="2" t="n"/>
    </row>
    <row r="14">
      <c r="A14" s="2" t="n"/>
      <c r="B14" s="5" t="inlineStr">
        <is>
          <t>PERÍODO</t>
        </is>
      </c>
      <c r="C14" s="6" t="inlineStr">
        <is>
          <t>2024–2033</t>
        </is>
      </c>
      <c r="D14" s="2" t="n"/>
      <c r="E14" s="2" t="n"/>
      <c r="F14" s="2" t="n"/>
      <c r="G14" s="2" t="n"/>
    </row>
    <row r="15">
      <c r="A15" s="2" t="n"/>
      <c r="B15" s="2" t="n"/>
      <c r="C15" s="2" t="n"/>
      <c r="D15" s="2" t="n"/>
      <c r="E15" s="2" t="n"/>
      <c r="F15" s="2" t="n"/>
      <c r="G15" s="2" t="n"/>
    </row>
    <row r="16">
      <c r="A16" s="2" t="n"/>
      <c r="B16" s="5" t="inlineStr">
        <is>
          <t>CONCESSÃO</t>
        </is>
      </c>
      <c r="C16" s="6" t="inlineStr">
        <is>
          <t>27/2023</t>
        </is>
      </c>
      <c r="D16" s="2" t="n"/>
      <c r="E16" s="2" t="n"/>
      <c r="F16" s="2" t="n"/>
      <c r="G16" s="2" t="n"/>
    </row>
    <row r="17">
      <c r="A17" s="2" t="n"/>
      <c r="B17" s="2" t="n"/>
      <c r="C17" s="2" t="n"/>
      <c r="D17" s="2" t="n"/>
      <c r="E17" s="2" t="n"/>
      <c r="F17" s="2" t="n"/>
      <c r="G17" s="2" t="n"/>
    </row>
    <row r="18">
      <c r="A18" s="2" t="n"/>
      <c r="B18" s="2" t="n"/>
      <c r="C18" s="2" t="n"/>
      <c r="D18" s="2" t="n"/>
      <c r="E18" s="2" t="n"/>
      <c r="F18" s="2" t="n"/>
      <c r="G18" s="2" t="n"/>
    </row>
    <row r="19">
      <c r="A19" s="2" t="n"/>
      <c r="B19" s="2" t="n"/>
      <c r="C19" s="2" t="n"/>
      <c r="D19" s="2" t="n"/>
      <c r="E19" s="2" t="n"/>
      <c r="F19" s="2" t="n"/>
      <c r="G19" s="2" t="n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n"/>
      <c r="B21" s="2" t="n"/>
      <c r="C21" s="2" t="n"/>
      <c r="D21" s="2" t="n"/>
      <c r="E21" s="2" t="n"/>
      <c r="F21" s="2" t="n"/>
      <c r="G21" s="2" t="n"/>
    </row>
    <row r="22">
      <c r="A22" s="2" t="n"/>
      <c r="B22" s="2" t="n"/>
      <c r="C22" s="2" t="n"/>
      <c r="D22" s="2" t="n"/>
      <c r="E22" s="2" t="n"/>
      <c r="F22" s="2" t="n"/>
      <c r="G22" s="2" t="n"/>
    </row>
    <row r="23">
      <c r="A23" s="2" t="n"/>
      <c r="B23" s="2" t="n"/>
      <c r="C23" s="2" t="n"/>
      <c r="D23" s="2" t="n"/>
      <c r="E23" s="2" t="n"/>
      <c r="F23" s="2" t="n"/>
      <c r="G23" s="2" t="n"/>
    </row>
    <row r="24">
      <c r="A24" s="2" t="n"/>
      <c r="B24" s="2" t="n"/>
      <c r="C24" s="2" t="n"/>
      <c r="D24" s="2" t="n"/>
      <c r="E24" s="2" t="n"/>
      <c r="F24" s="2" t="n"/>
      <c r="G24" s="2" t="n"/>
    </row>
    <row r="25">
      <c r="A25" s="2" t="n"/>
      <c r="B25" s="2" t="n"/>
      <c r="C25" s="2" t="n"/>
      <c r="D25" s="2" t="n"/>
      <c r="E25" s="2" t="n"/>
      <c r="F25" s="2" t="n"/>
      <c r="G25" s="2" t="n"/>
    </row>
    <row r="26">
      <c r="A26" s="2" t="n"/>
      <c r="B26" s="2" t="n"/>
      <c r="C26" s="2" t="n"/>
      <c r="D26" s="2" t="n"/>
      <c r="E26" s="2" t="n"/>
      <c r="F26" s="2" t="n"/>
      <c r="G26" s="2" t="n"/>
    </row>
    <row r="27">
      <c r="A27" s="2" t="n"/>
      <c r="B27" s="2" t="n"/>
      <c r="C27" s="2" t="n"/>
      <c r="D27" s="2" t="n"/>
      <c r="E27" s="2" t="n"/>
      <c r="F27" s="2" t="n"/>
      <c r="G27" s="2" t="n"/>
    </row>
    <row r="28">
      <c r="A28" s="2" t="n"/>
      <c r="B28" s="2" t="n"/>
      <c r="C28" s="2" t="n"/>
      <c r="D28" s="2" t="n"/>
      <c r="E28" s="2" t="n"/>
      <c r="F28" s="2" t="n"/>
      <c r="G28" s="2" t="n"/>
    </row>
    <row r="29">
      <c r="A29" s="2" t="n"/>
      <c r="B29" s="2" t="n"/>
      <c r="C29" s="2" t="n"/>
      <c r="D29" s="2" t="n"/>
      <c r="E29" s="2" t="n"/>
      <c r="F29" s="2" t="n"/>
      <c r="G29" s="2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12"/>
  <sheetViews>
    <sheetView showGridLines="0" workbookViewId="0">
      <selection activeCell="A1" sqref="A1"/>
    </sheetView>
  </sheetViews>
  <sheetFormatPr baseColWidth="8" defaultRowHeight="15"/>
  <cols>
    <col width="38" customWidth="1" min="2" max="2"/>
    <col width="18" customWidth="1" min="3" max="3"/>
    <col width="14" customWidth="1" min="4" max="4"/>
  </cols>
  <sheetData>
    <row r="2">
      <c r="B2" s="7" t="inlineStr">
        <is>
          <t>PREMISSAS DO MODELO</t>
        </is>
      </c>
    </row>
    <row r="4" ht="24" customHeight="1">
      <c r="B4" s="8" t="inlineStr">
        <is>
          <t>Premissa</t>
        </is>
      </c>
      <c r="C4" s="8" t="inlineStr">
        <is>
          <t>Valor</t>
        </is>
      </c>
      <c r="D4" s="8" t="inlineStr">
        <is>
          <t>Unidade</t>
        </is>
      </c>
    </row>
    <row r="5">
      <c r="B5" s="9" t="inlineStr">
        <is>
          <t>Taxa de desconto (WACC)</t>
        </is>
      </c>
      <c r="C5" s="10" t="n">
        <v>0.118</v>
      </c>
      <c r="D5" s="9" t="inlineStr">
        <is>
          <t>% a.a.</t>
        </is>
      </c>
    </row>
    <row r="6">
      <c r="B6" s="11" t="inlineStr">
        <is>
          <t>Inflação anual projetada</t>
        </is>
      </c>
      <c r="C6" s="12" t="n">
        <v>0.045</v>
      </c>
      <c r="D6" s="11" t="inlineStr">
        <is>
          <t>% a.a.</t>
        </is>
      </c>
    </row>
    <row r="7">
      <c r="B7" s="9" t="inlineStr">
        <is>
          <t>CAPEX total inicial (LED + sistemas)</t>
        </is>
      </c>
      <c r="C7" s="13" t="n">
        <v>18400000</v>
      </c>
      <c r="D7" s="9" t="inlineStr">
        <is>
          <t>BRL</t>
        </is>
      </c>
    </row>
    <row r="8">
      <c r="B8" s="11" t="inlineStr">
        <is>
          <t>OPEX anual base</t>
        </is>
      </c>
      <c r="C8" s="14" t="n">
        <v>4200000</v>
      </c>
      <c r="D8" s="11" t="inlineStr">
        <is>
          <t>BRL</t>
        </is>
      </c>
    </row>
    <row r="9">
      <c r="B9" s="9" t="inlineStr">
        <is>
          <t>Receita anual ano 1 (CAP IP)</t>
        </is>
      </c>
      <c r="C9" s="13" t="n">
        <v>9800000</v>
      </c>
      <c r="D9" s="9" t="inlineStr">
        <is>
          <t>BRL</t>
        </is>
      </c>
    </row>
    <row r="10">
      <c r="B10" s="11" t="inlineStr">
        <is>
          <t>Crescimento receita a.a.</t>
        </is>
      </c>
      <c r="C10" s="12" t="n">
        <v>0.06</v>
      </c>
      <c r="D10" s="11" t="inlineStr">
        <is>
          <t>% a.a.</t>
        </is>
      </c>
    </row>
    <row r="11">
      <c r="B11" s="9" t="inlineStr">
        <is>
          <t>Prazo contratual</t>
        </is>
      </c>
      <c r="C11" s="15" t="n">
        <v>10</v>
      </c>
      <c r="D11" s="9" t="inlineStr">
        <is>
          <t>anos</t>
        </is>
      </c>
    </row>
    <row r="12">
      <c r="B12" s="11" t="inlineStr">
        <is>
          <t>Imposto sobre lucro</t>
        </is>
      </c>
      <c r="C12" s="12" t="n">
        <v>0.34</v>
      </c>
      <c r="D12" s="11" t="inlineStr">
        <is>
          <t>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L13"/>
  <sheetViews>
    <sheetView showGridLines="0" workbookViewId="0">
      <selection activeCell="A1" sqref="A1"/>
    </sheetView>
  </sheetViews>
  <sheetFormatPr baseColWidth="8" defaultRowHeight="15"/>
  <cols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2">
      <c r="B2" s="7" t="inlineStr">
        <is>
          <t>DRE PROJETADA — R$</t>
        </is>
      </c>
    </row>
    <row r="4" ht="24" customHeight="1">
      <c r="B4" s="8" t="inlineStr">
        <is>
          <t>Item</t>
        </is>
      </c>
      <c r="C4" s="8" t="inlineStr">
        <is>
          <t>Ano 1</t>
        </is>
      </c>
      <c r="D4" s="8" t="inlineStr">
        <is>
          <t>Ano 2</t>
        </is>
      </c>
      <c r="E4" s="8" t="inlineStr">
        <is>
          <t>Ano 3</t>
        </is>
      </c>
      <c r="F4" s="8" t="inlineStr">
        <is>
          <t>Ano 4</t>
        </is>
      </c>
      <c r="G4" s="8" t="inlineStr">
        <is>
          <t>Ano 5</t>
        </is>
      </c>
      <c r="H4" s="8" t="inlineStr">
        <is>
          <t>Ano 6</t>
        </is>
      </c>
      <c r="I4" s="8" t="inlineStr">
        <is>
          <t>Ano 7</t>
        </is>
      </c>
      <c r="J4" s="8" t="inlineStr">
        <is>
          <t>Ano 8</t>
        </is>
      </c>
      <c r="K4" s="8" t="inlineStr">
        <is>
          <t>Ano 9</t>
        </is>
      </c>
      <c r="L4" s="8" t="inlineStr">
        <is>
          <t>Ano 10</t>
        </is>
      </c>
    </row>
    <row r="5">
      <c r="B5" s="9" t="inlineStr">
        <is>
          <t>Receita Bruta</t>
        </is>
      </c>
      <c r="C5" s="13" t="n">
        <v>9800000</v>
      </c>
      <c r="D5" s="13" t="n">
        <v>10388000</v>
      </c>
      <c r="E5" s="13" t="n">
        <v>11011280</v>
      </c>
      <c r="F5" s="13" t="n">
        <v>11671957</v>
      </c>
      <c r="G5" s="13" t="n">
        <v>12372274</v>
      </c>
      <c r="H5" s="13" t="n">
        <v>13114611</v>
      </c>
      <c r="I5" s="13" t="n">
        <v>13901487</v>
      </c>
      <c r="J5" s="13" t="n">
        <v>14735577</v>
      </c>
      <c r="K5" s="13" t="n">
        <v>15619711</v>
      </c>
      <c r="L5" s="13" t="n">
        <v>16556894</v>
      </c>
    </row>
    <row r="6">
      <c r="B6" s="11" t="inlineStr">
        <is>
          <t>(-) Impostos sobre receita</t>
        </is>
      </c>
      <c r="C6" s="14" t="n">
        <v>-906500</v>
      </c>
      <c r="D6" s="14" t="n">
        <v>-960890</v>
      </c>
      <c r="E6" s="14" t="n">
        <v>-1018543</v>
      </c>
      <c r="F6" s="14" t="n">
        <v>-1079656</v>
      </c>
      <c r="G6" s="14" t="n">
        <v>-1144435</v>
      </c>
      <c r="H6" s="14" t="n">
        <v>-1213101</v>
      </c>
      <c r="I6" s="14" t="n">
        <v>-1285888</v>
      </c>
      <c r="J6" s="14" t="n">
        <v>-1363041</v>
      </c>
      <c r="K6" s="14" t="n">
        <v>-1444823</v>
      </c>
      <c r="L6" s="14" t="n">
        <v>-1531513</v>
      </c>
    </row>
    <row r="7">
      <c r="B7" s="9">
        <f> Receita Líquida</f>
        <v/>
      </c>
      <c r="C7" s="13" t="n">
        <v>8893500</v>
      </c>
      <c r="D7" s="13" t="n">
        <v>9427110</v>
      </c>
      <c r="E7" s="13" t="n">
        <v>9992737</v>
      </c>
      <c r="F7" s="13" t="n">
        <v>10592301</v>
      </c>
      <c r="G7" s="13" t="n">
        <v>11227839</v>
      </c>
      <c r="H7" s="13" t="n">
        <v>11901509</v>
      </c>
      <c r="I7" s="13" t="n">
        <v>12615600</v>
      </c>
      <c r="J7" s="13" t="n">
        <v>13372536</v>
      </c>
      <c r="K7" s="13" t="n">
        <v>14174888</v>
      </c>
      <c r="L7" s="13" t="n">
        <v>15025381</v>
      </c>
    </row>
    <row r="8">
      <c r="B8" s="11" t="inlineStr">
        <is>
          <t>(-) OPEX</t>
        </is>
      </c>
      <c r="C8" s="14" t="n">
        <v>-4200000</v>
      </c>
      <c r="D8" s="14" t="n">
        <v>-4389000</v>
      </c>
      <c r="E8" s="14" t="n">
        <v>-4586505</v>
      </c>
      <c r="F8" s="14" t="n">
        <v>-4792898</v>
      </c>
      <c r="G8" s="14" t="n">
        <v>-5008578</v>
      </c>
      <c r="H8" s="14" t="n">
        <v>-5233964</v>
      </c>
      <c r="I8" s="14" t="n">
        <v>-5469493</v>
      </c>
      <c r="J8" s="14" t="n">
        <v>-5715620</v>
      </c>
      <c r="K8" s="14" t="n">
        <v>-5972823</v>
      </c>
      <c r="L8" s="14" t="n">
        <v>-6241600</v>
      </c>
    </row>
    <row r="9">
      <c r="B9" s="9">
        <f> EBITDA</f>
        <v/>
      </c>
      <c r="C9" s="13" t="n">
        <v>4693500</v>
      </c>
      <c r="D9" s="13" t="n">
        <v>5038110</v>
      </c>
      <c r="E9" s="13" t="n">
        <v>5406232</v>
      </c>
      <c r="F9" s="13" t="n">
        <v>5799403</v>
      </c>
      <c r="G9" s="13" t="n">
        <v>6219261</v>
      </c>
      <c r="H9" s="13" t="n">
        <v>6667545</v>
      </c>
      <c r="I9" s="13" t="n">
        <v>7146107</v>
      </c>
      <c r="J9" s="13" t="n">
        <v>7656916</v>
      </c>
      <c r="K9" s="13" t="n">
        <v>8202065</v>
      </c>
      <c r="L9" s="13" t="n">
        <v>8783782</v>
      </c>
    </row>
    <row r="10">
      <c r="B10" s="11" t="inlineStr">
        <is>
          <t>(-) Depreciação</t>
        </is>
      </c>
      <c r="C10" s="14" t="n">
        <v>-1840000</v>
      </c>
      <c r="D10" s="14" t="n">
        <v>-1840000</v>
      </c>
      <c r="E10" s="14" t="n">
        <v>-1840000</v>
      </c>
      <c r="F10" s="14" t="n">
        <v>-1840000</v>
      </c>
      <c r="G10" s="14" t="n">
        <v>-1840000</v>
      </c>
      <c r="H10" s="14" t="n">
        <v>-1840000</v>
      </c>
      <c r="I10" s="14" t="n">
        <v>-1840000</v>
      </c>
      <c r="J10" s="14" t="n">
        <v>-1840000</v>
      </c>
      <c r="K10" s="14" t="n">
        <v>-1840000</v>
      </c>
      <c r="L10" s="14" t="n">
        <v>-1840000</v>
      </c>
    </row>
    <row r="11">
      <c r="B11" s="9">
        <f> EBIT</f>
        <v/>
      </c>
      <c r="C11" s="13" t="n">
        <v>2853500</v>
      </c>
      <c r="D11" s="13" t="n">
        <v>3198110</v>
      </c>
      <c r="E11" s="13" t="n">
        <v>3566232</v>
      </c>
      <c r="F11" s="13" t="n">
        <v>3959403</v>
      </c>
      <c r="G11" s="13" t="n">
        <v>4379261</v>
      </c>
      <c r="H11" s="13" t="n">
        <v>4827545</v>
      </c>
      <c r="I11" s="13" t="n">
        <v>5306107</v>
      </c>
      <c r="J11" s="13" t="n">
        <v>5816916</v>
      </c>
      <c r="K11" s="13" t="n">
        <v>6362065</v>
      </c>
      <c r="L11" s="13" t="n">
        <v>6943782</v>
      </c>
    </row>
    <row r="12">
      <c r="B12" s="11" t="inlineStr">
        <is>
          <t>(-) IR/CSLL</t>
        </is>
      </c>
      <c r="C12" s="14" t="n">
        <v>-970190</v>
      </c>
      <c r="D12" s="14" t="n">
        <v>-1087357</v>
      </c>
      <c r="E12" s="14" t="n">
        <v>-1212519</v>
      </c>
      <c r="F12" s="14" t="n">
        <v>-1346197</v>
      </c>
      <c r="G12" s="14" t="n">
        <v>-1488949</v>
      </c>
      <c r="H12" s="14" t="n">
        <v>-1641365</v>
      </c>
      <c r="I12" s="14" t="n">
        <v>-1804076</v>
      </c>
      <c r="J12" s="14" t="n">
        <v>-1977751</v>
      </c>
      <c r="K12" s="14" t="n">
        <v>-2163102</v>
      </c>
      <c r="L12" s="14" t="n">
        <v>-2360886</v>
      </c>
    </row>
    <row r="13">
      <c r="B13" s="9">
        <f> Lucro Líquido</f>
        <v/>
      </c>
      <c r="C13" s="13" t="n">
        <v>1883310</v>
      </c>
      <c r="D13" s="13" t="n">
        <v>2110753</v>
      </c>
      <c r="E13" s="13" t="n">
        <v>2353713</v>
      </c>
      <c r="F13" s="13" t="n">
        <v>2613206</v>
      </c>
      <c r="G13" s="13" t="n">
        <v>2890312</v>
      </c>
      <c r="H13" s="13" t="n">
        <v>3186180</v>
      </c>
      <c r="I13" s="13" t="n">
        <v>3502031</v>
      </c>
      <c r="J13" s="13" t="n">
        <v>3839165</v>
      </c>
      <c r="K13" s="13" t="n">
        <v>4198963</v>
      </c>
      <c r="L13" s="13" t="n">
        <v>4582896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M9"/>
  <sheetViews>
    <sheetView showGridLines="0" workbookViewId="0">
      <selection activeCell="A1" sqref="A1"/>
    </sheetView>
  </sheetViews>
  <sheetFormatPr baseColWidth="8" defaultRowHeight="15"/>
  <cols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2">
      <c r="B2" s="7" t="inlineStr">
        <is>
          <t>FLUXO DE CAIXA LIVRE — R$</t>
        </is>
      </c>
    </row>
    <row r="4" ht="24" customHeight="1">
      <c r="B4" s="8" t="inlineStr">
        <is>
          <t>Item</t>
        </is>
      </c>
      <c r="C4" s="8" t="inlineStr">
        <is>
          <t>Ano 0</t>
        </is>
      </c>
      <c r="D4" s="8" t="inlineStr">
        <is>
          <t>Ano 1</t>
        </is>
      </c>
      <c r="E4" s="8" t="inlineStr">
        <is>
          <t>Ano 2</t>
        </is>
      </c>
      <c r="F4" s="8" t="inlineStr">
        <is>
          <t>Ano 3</t>
        </is>
      </c>
      <c r="G4" s="8" t="inlineStr">
        <is>
          <t>Ano 4</t>
        </is>
      </c>
      <c r="H4" s="8" t="inlineStr">
        <is>
          <t>Ano 5</t>
        </is>
      </c>
      <c r="I4" s="8" t="inlineStr">
        <is>
          <t>Ano 6</t>
        </is>
      </c>
      <c r="J4" s="8" t="inlineStr">
        <is>
          <t>Ano 7</t>
        </is>
      </c>
      <c r="K4" s="8" t="inlineStr">
        <is>
          <t>Ano 8</t>
        </is>
      </c>
      <c r="L4" s="8" t="inlineStr">
        <is>
          <t>Ano 9</t>
        </is>
      </c>
      <c r="M4" s="8" t="inlineStr">
        <is>
          <t>Ano 10</t>
        </is>
      </c>
    </row>
    <row r="5">
      <c r="B5" s="9" t="inlineStr">
        <is>
          <t>CAPEX</t>
        </is>
      </c>
      <c r="C5" s="13" t="n">
        <v>-18400000</v>
      </c>
      <c r="D5" s="13" t="n">
        <v>0</v>
      </c>
      <c r="E5" s="13" t="n">
        <v>0</v>
      </c>
      <c r="F5" s="13" t="n">
        <v>0</v>
      </c>
      <c r="G5" s="13" t="n">
        <v>0</v>
      </c>
      <c r="H5" s="13" t="n">
        <v>0</v>
      </c>
      <c r="I5" s="13" t="n">
        <v>0</v>
      </c>
      <c r="J5" s="13" t="n">
        <v>0</v>
      </c>
      <c r="K5" s="13" t="n">
        <v>0</v>
      </c>
      <c r="L5" s="13" t="n">
        <v>0</v>
      </c>
      <c r="M5" s="13" t="n">
        <v>0</v>
      </c>
    </row>
    <row r="6">
      <c r="B6" s="11" t="inlineStr">
        <is>
          <t>EBITDA</t>
        </is>
      </c>
      <c r="C6" s="14" t="n">
        <v>0</v>
      </c>
      <c r="D6" s="14" t="n">
        <v>4693500</v>
      </c>
      <c r="E6" s="14" t="n">
        <v>5038110</v>
      </c>
      <c r="F6" s="14" t="n">
        <v>5406232</v>
      </c>
      <c r="G6" s="14" t="n">
        <v>5799403</v>
      </c>
      <c r="H6" s="14" t="n">
        <v>6219261</v>
      </c>
      <c r="I6" s="14" t="n">
        <v>6667545</v>
      </c>
      <c r="J6" s="14" t="n">
        <v>7146107</v>
      </c>
      <c r="K6" s="14" t="n">
        <v>7656916</v>
      </c>
      <c r="L6" s="14" t="n">
        <v>8202065</v>
      </c>
      <c r="M6" s="14" t="n">
        <v>8783782</v>
      </c>
    </row>
    <row r="7">
      <c r="B7" s="9" t="inlineStr">
        <is>
          <t>(-) Impostos</t>
        </is>
      </c>
      <c r="C7" s="13" t="n">
        <v>0</v>
      </c>
      <c r="D7" s="13" t="n">
        <v>-970190</v>
      </c>
      <c r="E7" s="13" t="n">
        <v>-1087357</v>
      </c>
      <c r="F7" s="13" t="n">
        <v>-1212519</v>
      </c>
      <c r="G7" s="13" t="n">
        <v>-1346197</v>
      </c>
      <c r="H7" s="13" t="n">
        <v>-1488949</v>
      </c>
      <c r="I7" s="13" t="n">
        <v>-1641365</v>
      </c>
      <c r="J7" s="13" t="n">
        <v>-1804076</v>
      </c>
      <c r="K7" s="13" t="n">
        <v>-1977751</v>
      </c>
      <c r="L7" s="13" t="n">
        <v>-2163102</v>
      </c>
      <c r="M7" s="13" t="n">
        <v>-2360886</v>
      </c>
    </row>
    <row r="8">
      <c r="B8" s="11">
        <f> FCL</f>
        <v/>
      </c>
      <c r="C8" s="14" t="n">
        <v>-18400000</v>
      </c>
      <c r="D8" s="14" t="n">
        <v>3723310</v>
      </c>
      <c r="E8" s="14" t="n">
        <v>3950753</v>
      </c>
      <c r="F8" s="14" t="n">
        <v>4193713</v>
      </c>
      <c r="G8" s="14" t="n">
        <v>4453206</v>
      </c>
      <c r="H8" s="14" t="n">
        <v>4730312</v>
      </c>
      <c r="I8" s="14" t="n">
        <v>5026180</v>
      </c>
      <c r="J8" s="14" t="n">
        <v>5342031</v>
      </c>
      <c r="K8" s="14" t="n">
        <v>5679165</v>
      </c>
      <c r="L8" s="14" t="n">
        <v>6038963</v>
      </c>
      <c r="M8" s="14" t="n">
        <v>6422896</v>
      </c>
    </row>
    <row r="9">
      <c r="B9" s="9" t="inlineStr">
        <is>
          <t>Fluxo Acumulado</t>
        </is>
      </c>
      <c r="C9" s="13" t="n">
        <v>-18400000</v>
      </c>
      <c r="D9" s="13" t="n">
        <v>-14676690</v>
      </c>
      <c r="E9" s="13" t="n">
        <v>-10725937</v>
      </c>
      <c r="F9" s="13" t="n">
        <v>-6532225</v>
      </c>
      <c r="G9" s="13" t="n">
        <v>-2079019</v>
      </c>
      <c r="H9" s="13" t="n">
        <v>2651294</v>
      </c>
      <c r="I9" s="13" t="n">
        <v>7677473</v>
      </c>
      <c r="J9" s="13" t="n">
        <v>13019504</v>
      </c>
      <c r="K9" s="13" t="n">
        <v>18698669</v>
      </c>
      <c r="L9" s="13" t="n">
        <v>24737632</v>
      </c>
      <c r="M9" s="13" t="n">
        <v>31160528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selection activeCell="A1" sqref="A1"/>
    </sheetView>
  </sheetViews>
  <sheetFormatPr baseColWidth="8" defaultRowHeight="15"/>
  <cols>
    <col width="22" customWidth="1" min="2" max="2"/>
  </cols>
  <sheetData>
    <row r="2">
      <c r="B2" s="7" t="inlineStr">
        <is>
          <t>RESULTADOS DO MODELO</t>
        </is>
      </c>
    </row>
    <row r="4" ht="4" customHeight="1">
      <c r="B4" s="1" t="n"/>
      <c r="C4" s="1" t="n"/>
      <c r="D4" s="1" t="n"/>
      <c r="F4" s="16" t="n"/>
      <c r="G4" s="16" t="n"/>
      <c r="H4" s="16" t="n"/>
      <c r="J4" s="17" t="n"/>
      <c r="K4" s="17" t="n"/>
      <c r="L4" s="17" t="n"/>
    </row>
    <row r="5">
      <c r="B5" s="18" t="inlineStr">
        <is>
          <t>VPL @ 11,8%</t>
        </is>
      </c>
      <c r="F5" s="18" t="inlineStr">
        <is>
          <t>TIR</t>
        </is>
      </c>
      <c r="J5" s="18" t="inlineStr">
        <is>
          <t>PAYBACK</t>
        </is>
      </c>
    </row>
    <row r="6" ht="40" customHeight="1">
      <c r="B6" s="19" t="inlineStr">
        <is>
          <t>R$ 8.3 MM</t>
        </is>
      </c>
      <c r="F6" s="19" t="inlineStr">
        <is>
          <t>20.9%</t>
        </is>
      </c>
      <c r="J6" s="19" t="inlineStr">
        <is>
          <t>5 anos</t>
        </is>
      </c>
    </row>
    <row r="7">
      <c r="B7" s="20" t="inlineStr">
        <is>
          <t>valor presente líquido</t>
        </is>
      </c>
      <c r="F7" s="20" t="inlineStr">
        <is>
          <t>taxa interna de retorno</t>
        </is>
      </c>
      <c r="J7" s="20" t="inlineStr">
        <is>
          <t>fluxo acumulado ≥ 0</t>
        </is>
      </c>
    </row>
    <row r="8">
      <c r="B8" s="21" t="n"/>
      <c r="C8" s="21" t="n"/>
      <c r="D8" s="21" t="n"/>
      <c r="F8" s="21" t="n"/>
      <c r="G8" s="21" t="n"/>
      <c r="H8" s="21" t="n"/>
      <c r="J8" s="21" t="n"/>
      <c r="K8" s="21" t="n"/>
      <c r="L8" s="21" t="n"/>
    </row>
  </sheetData>
  <mergeCells count="9">
    <mergeCell ref="J7:L7"/>
    <mergeCell ref="J5:L5"/>
    <mergeCell ref="J6:L6"/>
    <mergeCell ref="B5:D5"/>
    <mergeCell ref="F6:H6"/>
    <mergeCell ref="F5:H5"/>
    <mergeCell ref="F7:H7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Endor Energia</dc:creator>
  <dc:title xmlns:dc="http://purl.org/dc/elements/1.1/">Modelo Financeiro — Luz Imperial</dc:title>
  <dcterms:created xmlns:dcterms="http://purl.org/dc/terms/" xmlns:xsi="http://www.w3.org/2001/XMLSchema-instance" xsi:type="dcterms:W3CDTF">2026-05-28T13:46:15Z</dcterms:created>
  <dcterms:modified xmlns:dcterms="http://purl.org/dc/terms/" xmlns:xsi="http://www.w3.org/2001/XMLSchema-instance" xsi:type="dcterms:W3CDTF">2026-05-28T13:46:15Z</dcterms:modified>
</cp:coreProperties>
</file>